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erature Review" sheetId="1" state="visible" r:id="rId3"/>
    <sheet name="Accuracy Comparison" sheetId="2" state="visible" r:id="rId4"/>
    <sheet name="Datasets Summary" sheetId="3" state="visible" r:id="rId5"/>
  </sheets>
  <definedNames>
    <definedName function="false" hidden="true" localSheetId="0" name="_xlnm._FilterDatabase" vbProcedure="false">'Literature Review'!$A$2:$V$9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<sst xmlns="http://schemas.openxmlformats.org/spreadsheetml/2006/main" count="374" uniqueCount="291">
  <si>
    <t xml:space="preserve">Literature Review: Vision Transformers for Wildfire / Fire-Smoke Image Detection (latest 7 papers, May 2025 – Sep 2026)</t>
  </si>
  <si>
    <t xml:space="preserve">#</t>
  </si>
  <si>
    <t xml:space="preserve">Paper Title</t>
  </si>
  <si>
    <t xml:space="preserve">Authors</t>
  </si>
  <si>
    <t xml:space="preserve">Journal / Venue</t>
  </si>
  <si>
    <t xml:space="preserve">Published</t>
  </si>
  <si>
    <t xml:space="preserve">DOI / Link</t>
  </si>
  <si>
    <t xml:space="preserve">Task Type</t>
  </si>
  <si>
    <t xml:space="preserve">Dataset(s) Used</t>
  </si>
  <si>
    <t xml:space="preserve">Dataset Size &amp; Classes</t>
  </si>
  <si>
    <t xml:space="preserve">Train / Val / Test Split</t>
  </si>
  <si>
    <t xml:space="preserve">Pre-processing &amp; Augmentation</t>
  </si>
  <si>
    <t xml:space="preserve">Technique / Model Architecture</t>
  </si>
  <si>
    <t xml:space="preserve">Training Setup</t>
  </si>
  <si>
    <t xml:space="preserve">Accuracy (best)</t>
  </si>
  <si>
    <t xml:space="preserve">Precision</t>
  </si>
  <si>
    <t xml:space="preserve">Recall</t>
  </si>
  <si>
    <t xml:space="preserve">F1-Score</t>
  </si>
  <si>
    <t xml:space="preserve">Other Metrics</t>
  </si>
  <si>
    <t xml:space="preserve">Baselines Compared</t>
  </si>
  <si>
    <t xml:space="preserve">Key Findings</t>
  </si>
  <si>
    <t xml:space="preserve">Limitations (as stated by authors)</t>
  </si>
  <si>
    <t xml:space="preserve">Relevance to Your Notebook</t>
  </si>
  <si>
    <t xml:space="preserve">A Hybrid Deep Learning Approach for Early Detection of Wildfires Using Transformer Models and Feature Fusion Techniques</t>
  </si>
  <si>
    <t xml:space="preserve">Abdullah Şener, Burhan Ergen, Kubilay Demir, Serdar Ekinci, Vedat Tümen</t>
  </si>
  <si>
    <t xml:space="preserve">Electronics (MDPI), Vol. 15, Issue 19, Art. 4470</t>
  </si>
  <si>
    <t xml:space="preserve">29 Sep 2026</t>
  </si>
  <si>
    <t xml:space="preserve">https://doi.org/10.3390/electronics15194470</t>
  </si>
  <si>
    <t xml:space="preserve">Binary image classification (fire / non-fire)</t>
  </si>
  <si>
    <t xml:space="preserve">FlameVision</t>
  </si>
  <si>
    <t xml:space="preserve">8,600 images: 5,000 fire + 3,600 non-fire</t>
  </si>
  <si>
    <t xml:space="preserve">80% development (6,880) / 20% independent test (1,720); 5-fold CV inside development set</t>
  </si>
  <si>
    <t xml:space="preserve">Resized to 224×224</t>
  </si>
  <si>
    <t xml:space="preserve">Three Vision Transformers used as feature extractors — DeiT3-Base/16 (768 features), MaxViT-Base (768), Swin-Base/4 (1,024) → feature-level fusion → mRMR (Minimum Redundancy Maximum Relevance) feature selection → SVM with cubic polynomial kernel</t>
  </si>
  <si>
    <t xml:space="preserve">SGD, LR 1e-5, 20 epochs, batch size 2</t>
  </si>
  <si>
    <t xml:space="preserve">100% (all fused + SVM configs); single models: Swin 95.00%, MaxViT 92.22%, DeiT3 86.11%</t>
  </si>
  <si>
    <t xml:space="preserve">Not separately reported (100% for fused)</t>
  </si>
  <si>
    <t xml:space="preserve">5-fold CV accuracy also 100%</t>
  </si>
  <si>
    <t xml:space="preserve">No prior wildfire methods benchmarked; only the 3 individual transformers and 4 fusion combos (Swin+DeiT3, MaxViT+DeiT3, MaxViT+Swin, all three)</t>
  </si>
  <si>
    <t xml:space="preserve">Fusing features from several transformers + feature selection + classical SVM beats any single transformer by 5–14 points on FlameVision.</t>
  </si>
  <si>
    <t xml:space="preserve">Authors say results are within-dataset only (no external generalisation test); no FPS/latency/memory measured so no real-time claim; CV folds not grouped by scene/fire event (possible leakage of near-duplicate images); feature-selection stability not analysed.</t>
  </si>
  <si>
    <t xml:space="preserve">Your Model D Phase 1 (frozen ViT-B/16 → [CLS] token → small head) is the single-transformer version of their pipeline. Their single-model numbers (Swin 95%, DeiT3 86%) show a lone frozen ViT is not automatically near-perfect — your 99.33% on the easier 999-image set fits that picture. Idea to borrow: concatenate your ViT [CLS] features with ResNet50 GAP features and train an SVM. Treat their 100% with caution (same-source data).</t>
  </si>
  <si>
    <t xml:space="preserve">SmartFire Vision: An Attention-Pruned Hybrid Vision Transformer and Detection Transformer Framework for Accurate, Efficient, and Real-Time Fire and Smoke Detection in Smart City Video Surveillance</t>
  </si>
  <si>
    <t xml:space="preserve">Muhammad Azhar, Muhammad Arman, Asma Iqbal, Adeen Amjad, Deshinta Arrova Dewi</t>
  </si>
  <si>
    <t xml:space="preserve">Information (MDPI), Vol. 17, Issue 9, Art. 845</t>
  </si>
  <si>
    <t xml:space="preserve">31 Aug 2026</t>
  </si>
  <si>
    <t xml:space="preserve">https://doi.org/10.3390/info17090845</t>
  </si>
  <si>
    <t xml:space="preserve">Frame-level binary classification (Fire vs Smoke) + localisation, CCTV video</t>
  </si>
  <si>
    <t xml:space="preserve">FURG Fire dataset (Kaggle)</t>
  </si>
  <si>
    <t xml:space="preserve">28,022 annotated frames from 24 videos; classes Fire / Smoke (frames with no event excluded, not a third class)</t>
  </si>
  <si>
    <t xml:space="preserve">Video-level 80/20 (19 / 5 videos): 25,091 train (13,397 fire / 11,694 smoke), 2,931 test (1,564 / 1,367); 2,930-frame stratified validation set drawn from train for early stopping + threshold selection</t>
  </si>
  <si>
    <t xml:space="preserve">Duplicate / noisy frames removed, annotations corrected; adaptive crop and resize to 224×224; pixels normalised to [0, 1]</t>
  </si>
  <si>
    <t xml:space="preserve">E-ViT: ViT-Base (16×16 patches → 196 tokens, 12 layers × 12 heads) with RIAH gradient-based attention-head pruning (~20% of heads per layer removed; 16.8 → 13.7 GFLOPs) + DETR (100 object queries) → gated feature fusion → 2-layer MLP + sigmoid, decision threshold θ = 0.55</t>
  </si>
  <si>
    <t xml:space="preserve">PyTorch 2.9, NVIDIA GTX 1080 (8 GB); Adam LR 1e-4, 25 epochs, batch 32, binary cross-entropy; after pruning, fine-tuned 3 epochs at LR 1e-5; results averaged over 3 runs</t>
  </si>
  <si>
    <t xml:space="preserve">85.40%</t>
  </si>
  <si>
    <t xml:space="preserve">85.33%</t>
  </si>
  <si>
    <t xml:space="preserve">85.43%</t>
  </si>
  <si>
    <t xml:space="preserve">85.35%</t>
  </si>
  <si>
    <t xml:space="preserve">Highest per-class ROC-AUC among compared methods (fire and smoke); Grad-CAM shows pruned E-ViT activations more tightly localised than standard ViT; lowest val loss at epoch 16</t>
  </si>
  <si>
    <t xml:space="preserve">Five baseline methods on the FURG test set, plus an ablation isolating RIAH pruning, DETR and gated fusion</t>
  </si>
  <si>
    <t xml:space="preserve">Pruning ~20% of attention heads cuts FLOPs by 18.3% without losing global context; combining ViT global features with DETR object-level features improves fire/smoke discrimination.</t>
  </si>
  <si>
    <t xml:space="preserve">No dedicated edge-hardware validation (desktop GPU only); small or partially occluded smoke plumes are localised loosely; misclassification patterns point to a need for temporal (multi-frame) modelling.</t>
  </si>
  <si>
    <t xml:space="preserve">Same backbone configuration as your Model D (ViT-Base/16, 224×224, 196 patch tokens, 12 blocks) and the same fine-tune LR (1e-5). Two practices worth copying: (1) the decision threshold is chosen on a VALIDATION set — your Section 13 sweep used the test set; (2) results are averaged over 3 runs — your notebook reports single runs. They also use Grad-CAM on a ViT, which your notebook attempted but which failed (AttributeError). Note their task is fire-vs-smoke, not fire-vs-no-fire.</t>
  </si>
  <si>
    <t xml:space="preserve">DINOv3-Driven Wildfire Classification Using Robust Visual Features Learning</t>
  </si>
  <si>
    <t xml:space="preserve">Xianjing Fan, Taoyuan Zhu, Xing Zi, Xian Tao, Mahardhika Pratama, Catarina Moreira, Haiyan Lu, Mukesh Prasad</t>
  </si>
  <si>
    <t xml:space="preserve">FLINS-ISKE 2026 (Sydney), Springer LNCS Vol. 16754, pp. 427–439</t>
  </si>
  <si>
    <t xml:space="preserve">9 Jul 2026</t>
  </si>
  <si>
    <t xml:space="preserve">https://doi.org/10.1007/978-981-92-2487-6_26</t>
  </si>
  <si>
    <t xml:space="preserve">Binary image classification (fire / no-fire)</t>
  </si>
  <si>
    <t xml:space="preserve">(1) Fire; (2) DeepFire; (3) FLAME</t>
  </si>
  <si>
    <t xml:space="preserve">Not stated in accessible abstract (DeepFire public spec: 1,900 images, 950 / 950)</t>
  </si>
  <si>
    <t xml:space="preserve">Not stated in accessible abstract</t>
  </si>
  <si>
    <t xml:space="preserve">Frozen DINOv3 backbone (self-supervised Vision Transformer) extracts global image features → lightweight MLP classifier</t>
  </si>
  <si>
    <t xml:space="preserve">Not stated in accessible abstract (paywalled chapter)</t>
  </si>
  <si>
    <t xml:space="preserve">Up to 99% (best dataset)</t>
  </si>
  <si>
    <t xml:space="preserve">Not in abstract</t>
  </si>
  <si>
    <t xml:space="preserve">Reported to significantly reduce both false positives and false negatives on the more complex datasets</t>
  </si>
  <si>
    <t xml:space="preserve">Not named in abstract ('superior or highly competitive performance across multiple metrics')</t>
  </si>
  <si>
    <t xml:space="preserve">Self-supervised global ViT features reduce confusion with fire-like backgrounds (sunset skies, reddish vegetation), giving more reliable detection than the compared methods.</t>
  </si>
  <si>
    <t xml:space="preserve">Only the abstract is publicly accessible; dataset splits, backbone size and per-metric tables are behind the Springer paywall.</t>
  </si>
  <si>
    <t xml:space="preserve">Almost exactly your Model D Phase 1 recipe (frozen ViT → global token → small head), with a self-supervised backbone instead of supervised ImageNet ViT. Supports your own observation that Phase 1 peaked at epoch 1 and fine-tuning the last 4 blocks added nothing measurable. DINOv3 is a natural drop-in backbone to try. Their 'Fire' dataset may be the same 999-image Kaggle set — confirm in the full text before citing it as a head-to-head comparison.</t>
  </si>
  <si>
    <t xml:space="preserve">A Large Scale Open-Source Image and Video Dataset for Robust Wildfire Detection and Classification (GWFP)</t>
  </si>
  <si>
    <t xml:space="preserve">Emadeldeen Hamdan, Yingyi Luo, B. Uğur Töreyin, Erdem Koyuncu, Adam J. Watts, Uğur Güdükbay, Ahmet Enis Cetin</t>
  </si>
  <si>
    <t xml:space="preserve">arXiv preprint 2606.10174 (not yet peer-reviewed)</t>
  </si>
  <si>
    <t xml:space="preserve">Jun 2026</t>
  </si>
  <si>
    <t xml:space="preserve">https://arxiv.org/abs/2606.10174</t>
  </si>
  <si>
    <t xml:space="preserve">Binary fire / no-fire patch classification + in-domain vs cross-dataset benchmarking</t>
  </si>
  <si>
    <t xml:space="preserve">(1) GWFP (new); (2) FlameVision (external test only)</t>
  </si>
  <si>
    <t xml:space="preserve">GWFP images: Flames 618, Smoke 26,000, Negative 27,200, Waterdogs/Fog 6,200, NIR Fire 4,743, NIR No-Fire 10,060, Ember ≈10,000; plus 557 videos. Classification subset: 26,000 smoke + 27,200 negative + 618 flame patches, merged to fire / no-fire</t>
  </si>
  <si>
    <t xml:space="preserve">80% train / 20% validation, split at image/video level BEFORE patch extraction (prevents overlapping patches leaking across splits)</t>
  </si>
  <si>
    <t xml:space="preserve">Overlapping sliding-window 224×224 patches (instead of resizing whole frames); random crop + random rotation; focal loss for class imbalance</t>
  </si>
  <si>
    <t xml:space="preserve">Benchmark of MobileNetV2, EfficientNetV2, Swin Transformer, ResNet18, ResNet50; proposed HTE-ResNet (Walsh–Hadamard transform mixing inside residual connections, no extra parameters)</t>
  </si>
  <si>
    <t xml:space="preserve">Focal loss; other hyper-parameters not stated</t>
  </si>
  <si>
    <t xml:space="preserve">In-domain: 95.2% (HTE-ResNet50); Swin 94.6%. Cross-dataset on FlameVision: 91.9% (HTE-ResNet50); Swin 82.1%</t>
  </si>
  <si>
    <t xml:space="preserve">Not reported</t>
  </si>
  <si>
    <t xml:space="preserve">In-domain 95.1% (HTE-ResNet50), Swin 94.5%; cross-dataset 86.4% (HTE-ResNet50), Swin 61.2%</t>
  </si>
  <si>
    <t xml:space="preserve">NIR subset ACC 90.1% / F1 88.3%; Waterdog/Fog: true detection rate 77.94%, false alarm rate 0.40%</t>
  </si>
  <si>
    <t xml:space="preserve">MobileNetV2, EfficientNetV2, Swin Transformer, ResNet18, ResNet50 (2D) and HTE-ResNet50 3D</t>
  </si>
  <si>
    <t xml:space="preserve">Transformer (Swin) and lightweight CNNs suffer the largest F1 drops under domain shift (Swin 94.5 → 61.2); ResNet50 stays comparatively stable; dataset diversity drives generalisation.</t>
  </si>
  <si>
    <t xml:space="preserve">NIR and Waterdog/Fog subsets are small and preliminary; Ember subset still being expanded; MIVIA and FLAME2 excluded from cross-dataset tests due to shared HPWREN imagery; dataset and code released only upon acceptance.</t>
  </si>
  <si>
    <t xml:space="preserve">The most important caution for your ViT result: a transformer that scores ~95% in-domain fell to 82% accuracy / 61% F1 on a different dataset. Your 99.33% is in-domain only (one 150-image test split). Testing Model D on an external set (e.g. FlameVision or DeepFire) would be the strongest addition to your notebook. Their split-before-patching rule is also the right way to avoid near-duplicate leakage.</t>
  </si>
  <si>
    <t xml:space="preserve">Real time fire and smoke detection using vision transformers and spatiotemporal learning</t>
  </si>
  <si>
    <t xml:space="preserve">Umesh Kumar Lilhore, Yogesh Kumar Sharma, Kavitha Venkatachari, Nikhil Kumar Jain, Sultan Aldossary, Shimaa A. Hussien, Ehab Seif Ghith, Lidia Gosy Tekeste, Sarita Simaiya</t>
  </si>
  <si>
    <t xml:space="preserve">Scientific Reports (Nature), Vol. 16, Art. 8928</t>
  </si>
  <si>
    <t xml:space="preserve">6 Mar 2026</t>
  </si>
  <si>
    <t xml:space="preserve">https://doi.org/10.1038/s41598-026-36687-9</t>
  </si>
  <si>
    <t xml:space="preserve">Binary classification on images + video (fire / non-fire)</t>
  </si>
  <si>
    <t xml:space="preserve">(1) NASA Space Apps Challenge fire dataset (same 999-image set as Kaggle phylake1337/fire-dataset); (2) Kaggle Fire Videos dataset</t>
  </si>
  <si>
    <t xml:space="preserve">Images: 999 (755 fire / 244 non-fire), augmented to 12,755 fire + 12,755 non-fire. Videos: frames at 1 fps, sequences of 10 frames, also balanced to 12,755 + 12,755</t>
  </si>
  <si>
    <t xml:space="preserve">70% / 15% / 15% (17,857 / 3,827 / 3,826 after augmentation)</t>
  </si>
  <si>
    <t xml:space="preserve">Rotation, flipping, cropping, brightness-contrast; class balancing via augmentation</t>
  </si>
  <si>
    <t xml:space="preserve">Hybrid: Vision Transformer (spatial features from frames) + 3D-CNN (spatio-temporal features from clips) + Transformer encoder (temporal evolution) + multi-scale feature fusion (concat + element-wise add), multi-task learning</t>
  </si>
  <si>
    <t xml:space="preserve">Adam, LR 1e-4, batch 16, 50 epochs, early stopping, dropout 0.3, class-weighted binary cross-entropy</t>
  </si>
  <si>
    <t xml:space="preserve">99.2% (NASA images); 98.3% (Fire Videos)</t>
  </si>
  <si>
    <t xml:space="preserve">99.2% / 98.4%</t>
  </si>
  <si>
    <t xml:space="preserve">99.1% / 98.2%</t>
  </si>
  <si>
    <t xml:space="preserve">99.1% / 98.3%</t>
  </si>
  <si>
    <t xml:space="preserve">Scenario tests: open-field spread 98.5%, heavy smoke + low light 98.3%, industrial low-visibility 99.1%</t>
  </si>
  <si>
    <t xml:space="preserve">ResNet50, VGG16, LSTM, 3D-CNN, ResNet50+LSTM, VGG16+3D-CNN (all reported in 85–94% accuracy range)</t>
  </si>
  <si>
    <t xml:space="preserve">Adding temporal (video) context and ViT spatial features gives a 4–14 point gain over CNN baselines.</t>
  </si>
  <si>
    <t xml:space="preserve">Generalisation across lighting/smoke conditions still limited; 3D-CNN is computationally heavy for real-time; FPS not reported. Note: augmentation was done BEFORE the split, so near-duplicate images may appear in train and test (inflates accuracy).</t>
  </si>
  <si>
    <t xml:space="preserve">MOST DIRECTLY COMPARABLE — same 999-image dataset (755/244) and also ViT-based. Your Model D: 99.33% accuracy / 0.9956 F1 on a clean, un-augmented stratified test split vs their 99.2% / 0.991 after augmenting before splitting — so your number rests on a cleaner protocol, though on only 150 test images (1 error; 95% CI ≈ 96.3–99.9%). Their CNN baselines (85–94%) are far below your frozen ResNet50 (99.33%), which suggests their baselines were under-tuned.</t>
  </si>
  <si>
    <t xml:space="preserve">CN2VF-Net: A Hybrid Convolutional Neural Network and Vision Transformer Framework for Multi-Scale Fire Detection in Complex Environments</t>
  </si>
  <si>
    <t xml:space="preserve">Naveed Ahmad, Mariam Akbar, Eman H. Alkhammash, Mona M. Jamjoom</t>
  </si>
  <si>
    <t xml:space="preserve">Fire (MDPI), Vol. 8, Issue 6, Art. 211</t>
  </si>
  <si>
    <t xml:space="preserve">26 May 2025</t>
  </si>
  <si>
    <t xml:space="preserve">https://doi.org/10.3390/fire8060211</t>
  </si>
  <si>
    <t xml:space="preserve">Fire &amp; smoke detection / localisation</t>
  </si>
  <si>
    <t xml:space="preserve">D-Fire dataset (filtered subset)</t>
  </si>
  <si>
    <t xml:space="preserve">9,869 images (from 21,527 labelled), fire and smoke classes</t>
  </si>
  <si>
    <t xml:space="preserve">70% / 15% / 15%</t>
  </si>
  <si>
    <t xml:space="preserve">Resized to 416×416</t>
  </si>
  <si>
    <t xml:space="preserve">Hybrid CNN + ViT: EfficientNet-B0 backbone for local multi-scale features + 4-layer Transformer encoder (8 heads, MLP 512, patch 26×26 → 256-dim) + multi-scale attention and dynamic feature fusion</t>
  </si>
  <si>
    <t xml:space="preserve">Adam, LR 1e-4, Dice + Focal loss, batch 16, 30–40 epochs, early stopping + LR reduction; 2 GPUs; ~8M params (30.6 MB)</t>
  </si>
  <si>
    <t xml:space="preserve">Not reported (detection task)</t>
  </si>
  <si>
    <t xml:space="preserve">83.3%</t>
  </si>
  <si>
    <t xml:space="preserve">82.8%</t>
  </si>
  <si>
    <t xml:space="preserve">81.5%</t>
  </si>
  <si>
    <t xml:space="preserve">mAP@0.5 76.1%; mIoU(50–95) 77.1%; 12.01 FPS (83.3 ms/sample)</t>
  </si>
  <si>
    <t xml:space="preserve">CNN-only EfficientNet-B0 (P 65.1%, R 61.8%, mAP50 60.9%), ViT-only (P 71.5%, R 73.0%, mAP50 75.2%); TFNet, Fire-PPYOLOE, SF-YOLO, YOLOv11</t>
  </si>
  <si>
    <t xml:space="preserve">Hybrid beats CNN-only by +18 pts precision and ViT-only by +12 pts recall.</t>
  </si>
  <si>
    <t xml:space="preserve">Small fires at high altitude still missed; fog / sunlight reflections cause false positives; fires &lt;16×16 px lost due to fixed patch size; transformer cost grows quadratically with resolution.</t>
  </si>
  <si>
    <t xml:space="preserve">Their ViT-only vs CNN-only vs hybrid ablation is the experiment your notebook lacks: you compare ViT-B/16 and ResNet50 separately (tied at 99.33%) but never combine them. Also uses focal loss, like your SE + Focal ablation — note your focal loss weights the majority (fire) class with α = 0.75, the opposite of its intent. Their 16×16-patch limitation for tiny fires applies directly to ViT-B/16.</t>
  </si>
  <si>
    <t xml:space="preserve">Wildfire Detection Using Vision Transformer with the Wildfire Dataset</t>
  </si>
  <si>
    <t xml:space="preserve">Gowtham Raj Vuppari, Navarun Gupta, Ahmed El-Sayed, Xingguo Xiong</t>
  </si>
  <si>
    <t xml:space="preserve">2025 ASEE Northeast Section Conference (Univ. of Bridgeport); arXiv 2505.17395</t>
  </si>
  <si>
    <t xml:space="preserve">22 Mar 2025 (conference); arXiv May 2025</t>
  </si>
  <si>
    <t xml:space="preserve">https://arxiv.org/abs/2505.17395</t>
  </si>
  <si>
    <t xml:space="preserve">Binary image classification (wildfire / no wildfire)</t>
  </si>
  <si>
    <t xml:space="preserve">The Wildfire Dataset (El-Madafri, Peña &amp; Olmedo-Torre, UPC)</t>
  </si>
  <si>
    <t xml:space="preserve">2,700 aerial + ground images (1,047 fire / 1,653 no-fire), 10.74 GB; sizes 153×206 up to 19,699×8,974 px</t>
  </si>
  <si>
    <t xml:space="preserve">Stated 80 / 10 / 10 (1,509 / 378 / 410 images)</t>
  </si>
  <si>
    <t xml:space="preserve">Resize to 224×224, ToTensor, ImageNet mean/std normalisation; data augmentation mentioned (types not specified)</t>
  </si>
  <si>
    <t xml:space="preserve">Pre-trained ViT-Base/16 (timm vit_base_patch16_224) fine-tuned end-to-end; softmax over 2 classes</t>
  </si>
  <si>
    <t xml:space="preserve">PyTorch on Google Colab; Adam LR 1e-4, CrossEntropyLoss, batch 32, &gt;10 epochs; training loss 0.4510 → 0.0481</t>
  </si>
  <si>
    <t xml:space="preserve">96.10%</t>
  </si>
  <si>
    <t xml:space="preserve">0.96 (fire) / 0.97 (no-fire)</t>
  </si>
  <si>
    <t xml:space="preserve">0.96 (fire) / 0.98 (no-fire)</t>
  </si>
  <si>
    <t xml:space="preserve">ROC-AUC 0.97; confusion matrix TP 149 / TN 241 / FP 10 / FN 10; GPU memory 1,089.92 MB; 0.0068 s inference per batch; 406 s per epoch</t>
  </si>
  <si>
    <t xml:space="preserve">ResNet-50 88.5%, VGG-16 85.3%, YOLOv5 87.2%, AlexNet 83.9%</t>
  </si>
  <si>
    <t xml:space="preserve">Fine-tuned ViT-B/16 outperforms the CNN baselines on a diverse, harder wildfire dataset.</t>
  </si>
  <si>
    <t xml:space="preserve">Errors attributed to cloud cover / smoke obstruction and night-time / low-light images; future work: multispectral &amp; night imagery, edge deployment, attention-heatmap explainability.</t>
  </si>
  <si>
    <t xml:space="preserve">Closest methodological twin: same backbone (ViT-B/16, 224×224, ImageNet weights), same LR (1e-4) and batch (32). Your Model D scores higher (99.33% vs 96.10%) but on a smaller, easier dataset. Cite carefully — internal inconsistencies: split counts sum to 2,297 not 2,700, and their confusion matrix (390/410 correct) gives 95.1%, not the stated 96.10%.</t>
  </si>
  <si>
    <t xml:space="preserve">Headline Results — Published Papers vs. Your Notebook (wildfire_detection_vit-2.ipynb)</t>
  </si>
  <si>
    <t xml:space="preserve">Source</t>
  </si>
  <si>
    <t xml:space="preserve">Model / Method</t>
  </si>
  <si>
    <t xml:space="preserve">Dataset</t>
  </si>
  <si>
    <t xml:space="preserve"># Images</t>
  </si>
  <si>
    <t xml:space="preserve">Task</t>
  </si>
  <si>
    <t xml:space="preserve">Accuracy</t>
  </si>
  <si>
    <t xml:space="preserve">F1</t>
  </si>
  <si>
    <t xml:space="preserve">Note</t>
  </si>
  <si>
    <t xml:space="preserve">Şener et al. 2026 (Electronics)</t>
  </si>
  <si>
    <t xml:space="preserve">DeiT3 + MaxViT + Swin features → mRMR → SVM</t>
  </si>
  <si>
    <t xml:space="preserve">Binary cls</t>
  </si>
  <si>
    <t xml:space="preserve">—</t>
  </si>
  <si>
    <t xml:space="preserve">Within-dataset only</t>
  </si>
  <si>
    <t xml:space="preserve">Swin-Base/4 alone (frozen features → SVM)</t>
  </si>
  <si>
    <t xml:space="preserve">Best single transformer</t>
  </si>
  <si>
    <t xml:space="preserve">Azhar et al. 2026 (Information)</t>
  </si>
  <si>
    <t xml:space="preserve">SmartFire Vision: pruned ViT-B/16 + DETR</t>
  </si>
  <si>
    <t xml:space="preserve">FURG Fire (video frames)</t>
  </si>
  <si>
    <t xml:space="preserve">Binary cls (fire vs smoke)</t>
  </si>
  <si>
    <t xml:space="preserve">Video-level split; 3-run average</t>
  </si>
  <si>
    <t xml:space="preserve">Fan et al. 2026 (LNCS / FLINS-ISKE)</t>
  </si>
  <si>
    <t xml:space="preserve">Frozen DINOv3 ViT + MLP head</t>
  </si>
  <si>
    <t xml:space="preserve">Fire / DeepFire / FLAME</t>
  </si>
  <si>
    <t xml:space="preserve">'Up to 99%' — abstract only</t>
  </si>
  <si>
    <t xml:space="preserve">Hamdan et al. 2026 (arXiv)</t>
  </si>
  <si>
    <t xml:space="preserve">HTE-ResNet50 (in-domain)</t>
  </si>
  <si>
    <t xml:space="preserve">GWFP</t>
  </si>
  <si>
    <t xml:space="preserve">Binary patch cls</t>
  </si>
  <si>
    <t xml:space="preserve">Preprint</t>
  </si>
  <si>
    <t xml:space="preserve">HTE-ResNet50 (train GWFP → test FlameVision)</t>
  </si>
  <si>
    <t xml:space="preserve">FlameVision (external)</t>
  </si>
  <si>
    <t xml:space="preserve">Cross-dataset</t>
  </si>
  <si>
    <t xml:space="preserve">Swin Transformer (in-domain)</t>
  </si>
  <si>
    <t xml:space="preserve">Swin Transformer (train GWFP → test FlameVision)</t>
  </si>
  <si>
    <t xml:space="preserve">Largest cross-dataset F1 drop</t>
  </si>
  <si>
    <t xml:space="preserve">Lilhore et al. 2026 (Sci Rep)</t>
  </si>
  <si>
    <t xml:space="preserve">ViT + 3D-CNN + Transformer encoder</t>
  </si>
  <si>
    <t xml:space="preserve">NASA / Kaggle fire (same as yours)</t>
  </si>
  <si>
    <t xml:space="preserve">Augmented before split</t>
  </si>
  <si>
    <t xml:space="preserve">Kaggle Fire Videos</t>
  </si>
  <si>
    <t xml:space="preserve">Binary cls (video)</t>
  </si>
  <si>
    <t xml:space="preserve">Ahmad et al. 2025 (Fire)</t>
  </si>
  <si>
    <t xml:space="preserve">CN2VF-Net (EfficientNet-B0 + ViT)</t>
  </si>
  <si>
    <t xml:space="preserve">D-Fire</t>
  </si>
  <si>
    <t xml:space="preserve">Detection</t>
  </si>
  <si>
    <t xml:space="preserve">mAP@0.5 = 76.1%</t>
  </si>
  <si>
    <t xml:space="preserve">Vuppari et al. 2025 (ASEE / arXiv)</t>
  </si>
  <si>
    <t xml:space="preserve">ViT-B/16 fine-tuned</t>
  </si>
  <si>
    <t xml:space="preserve">The Wildfire Dataset</t>
  </si>
  <si>
    <t xml:space="preserve">Fire-class P/R/F1; CM implies 95.1%</t>
  </si>
  <si>
    <t xml:space="preserve">YOUR NOTEBOOK</t>
  </si>
  <si>
    <t xml:space="preserve">Model D: ViT-B/16 (frozen → last 4 blocks fine-tuned)</t>
  </si>
  <si>
    <t xml:space="preserve">Kaggle phylake1337 fire</t>
  </si>
  <si>
    <t xml:space="preserve">1 error / 150; AUC 1.000; 95% CI ≈ 96.3–99.9%</t>
  </si>
  <si>
    <t xml:space="preserve">ResNet50 (frozen)</t>
  </si>
  <si>
    <t xml:space="preserve">Ties ViT on the same test split</t>
  </si>
  <si>
    <t xml:space="preserve">MobileNetV2 (frozen)</t>
  </si>
  <si>
    <t xml:space="preserve">4 missed fires</t>
  </si>
  <si>
    <t xml:space="preserve">L1 / L2 CNN (λ = 1e-4)</t>
  </si>
  <si>
    <t xml:space="preserve">L1 and L2 identical on test</t>
  </si>
  <si>
    <t xml:space="preserve">Model B: 4-conv CNN + Dense(512), no regularisation</t>
  </si>
  <si>
    <t xml:space="preserve">Model C: Regularised CNN (dropout + BN + aug.)</t>
  </si>
  <si>
    <t xml:space="preserve">Macro-F1 0.8462; 16 missed fires</t>
  </si>
  <si>
    <t xml:space="preserve">Model C architecture, 5-fold CV (mean)</t>
  </si>
  <si>
    <t xml:space="preserve">Kaggle phylake1337 fire (train+val pool)</t>
  </si>
  <si>
    <t xml:space="preserve">Acc ± 2.44 pp; F1 = mean of fold F1s</t>
  </si>
  <si>
    <t xml:space="preserve">Ablation: SE attention only</t>
  </si>
  <si>
    <t xml:space="preserve">Single seed</t>
  </si>
  <si>
    <t xml:space="preserve">Ablation: Proposed SE + Focal loss</t>
  </si>
  <si>
    <t xml:space="preserve">Macro-F1 0.8159; single seed</t>
  </si>
  <si>
    <t xml:space="preserve">Notes</t>
  </si>
  <si>
    <t xml:space="preserve">• Published values are as reported by each paper's authors; '—' means not reported in the accessible text.</t>
  </si>
  <si>
    <t xml:space="preserve">• Numbers are NOT directly comparable across rows: datasets, splits, tasks (fire vs no-fire, fire vs smoke, detection) and class balance differ.</t>
  </si>
  <si>
    <t xml:space="preserve">• Only Lilhore et al. 2026 is confirmed to use the same 999-image dataset as your notebook; Fan et al. 2026 ('Fire') may too — check the full text.</t>
  </si>
  <si>
    <t xml:space="preserve">• Your notebook numbers come from the 150-image held-out test set (stratified 70/15/15 split) in wildfire_detection_vit-2.ipynb, except the 5-fold CV row (validation folds).</t>
  </si>
  <si>
    <t xml:space="preserve">• F1 for your notebook rows is calculated in-sheet from Precision and Recall (fire = positive class); edit P or R and F1 updates.</t>
  </si>
  <si>
    <t xml:space="preserve">• Hamdan et al. show in-domain scores can drop sharply on an external dataset (Swin F1 94.5% → 61.2%); all your results are in-domain only.</t>
  </si>
  <si>
    <t xml:space="preserve">Datasets Used Across the Reviewed Papers</t>
  </si>
  <si>
    <t xml:space="preserve">Used By</t>
  </si>
  <si>
    <t xml:space="preserve">Size</t>
  </si>
  <si>
    <t xml:space="preserve">Classes</t>
  </si>
  <si>
    <t xml:space="preserve">Imagery Type</t>
  </si>
  <si>
    <t xml:space="preserve">Where to Get It</t>
  </si>
  <si>
    <t xml:space="preserve">Kaggle Fire Dataset (phylake1337) / NASA Space Apps</t>
  </si>
  <si>
    <t xml:space="preserve">Lilhore 2026; possibly Fan 2026 ('Fire'); YOUR NOTEBOOK</t>
  </si>
  <si>
    <t xml:space="preserve">999 images (755 fire / 244 non-fire)</t>
  </si>
  <si>
    <t xml:space="preserve">2</t>
  </si>
  <si>
    <t xml:space="preserve">Ground-level outdoor / forest photos</t>
  </si>
  <si>
    <t xml:space="preserve">kaggle.com/datasets/phylake1337/fire-dataset</t>
  </si>
  <si>
    <t xml:space="preserve">Şener 2026; Hamdan 2026 (external cross-dataset test)</t>
  </si>
  <si>
    <t xml:space="preserve">8,600 images (5,000 fire / 3,600 non-fire)</t>
  </si>
  <si>
    <t xml:space="preserve">Wildfire photos incl. aerial imagery</t>
  </si>
  <si>
    <t xml:space="preserve">Mendeley Data (Jafar et al., 2023)</t>
  </si>
  <si>
    <t xml:space="preserve">GWFP (Global Wildfire Prevention Dataset)</t>
  </si>
  <si>
    <t xml:space="preserve">Hamdan 2026</t>
  </si>
  <si>
    <t xml:space="preserve">≈84,800 images in 7 classes + 557 videos</t>
  </si>
  <si>
    <t xml:space="preserve">7 image classes (merged to fire / no-fire)</t>
  </si>
  <si>
    <t xml:space="preserve">HPWREN fixed cameras + Bilkent; RGB and near-infrared; image + video</t>
  </si>
  <si>
    <t xml:space="preserve">To be released on acceptance (arXiv 2606.10174)</t>
  </si>
  <si>
    <t xml:space="preserve">FURG Fire</t>
  </si>
  <si>
    <t xml:space="preserve">Azhar 2026</t>
  </si>
  <si>
    <t xml:space="preserve">28,022 annotated frames from 24 videos</t>
  </si>
  <si>
    <t xml:space="preserve">Fire, Smoke (boxes)</t>
  </si>
  <si>
    <t xml:space="preserve">Video surveillance frames (Brazil)</t>
  </si>
  <si>
    <t xml:space="preserve">Kaggle (CC BY 3.0)</t>
  </si>
  <si>
    <t xml:space="preserve">Vuppari 2025</t>
  </si>
  <si>
    <t xml:space="preserve">2,700 images (1,047 fire / 1,653 no-fire), 10.74 GB</t>
  </si>
  <si>
    <t xml:space="preserve">2 (with sub-classes e.g. smoke, confounders)</t>
  </si>
  <si>
    <t xml:space="preserve">Aerial + ground images from government databases, Flickr, Unsplash</t>
  </si>
  <si>
    <t xml:space="preserve">Kaggle (El-Madafri, Peña &amp; Olmedo-Torre, UPC)</t>
  </si>
  <si>
    <t xml:space="preserve">DeepFire</t>
  </si>
  <si>
    <t xml:space="preserve">Fan 2026</t>
  </si>
  <si>
    <t xml:space="preserve">1,900 images (950 / 950)</t>
  </si>
  <si>
    <t xml:space="preserve">Forest scenes</t>
  </si>
  <si>
    <t xml:space="preserve">Kaggle — DeepFire forest fire dataset</t>
  </si>
  <si>
    <t xml:space="preserve">FLAME</t>
  </si>
  <si>
    <t xml:space="preserve">39,375 frames (classification)</t>
  </si>
  <si>
    <t xml:space="preserve">UAV aerial video frames (RGB + thermal source)</t>
  </si>
  <si>
    <t xml:space="preserve">IEEE DataPort — FLAME dataset (Shamsoshoara et al.)</t>
  </si>
  <si>
    <t xml:space="preserve">Ahmad 2025</t>
  </si>
  <si>
    <t xml:space="preserve">21,527 labelled (9,869 used)</t>
  </si>
  <si>
    <t xml:space="preserve">Surveillance / outdoor</t>
  </si>
  <si>
    <t xml:space="preserve">github.com/gaiasd/DFireDataset</t>
  </si>
  <si>
    <t xml:space="preserve">Lilhore 2026</t>
  </si>
  <si>
    <t xml:space="preserve">Video clips (frames at 1 fps)</t>
  </si>
  <si>
    <t xml:space="preserve">Video</t>
  </si>
  <si>
    <t xml:space="preserve">Kaggle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</si>
</sst>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5FA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3390/electronics15194470" TargetMode="External"/><Relationship Id="rId2" Type="http://schemas.openxmlformats.org/officeDocument/2006/relationships/hyperlink" Target="https://doi.org/10.3390/info17090845" TargetMode="External"/><Relationship Id="rId3" Type="http://schemas.openxmlformats.org/officeDocument/2006/relationships/hyperlink" Target="https://doi.org/10.1007/978-981-92-2487-6_26" TargetMode="External"/><Relationship Id="rId4" Type="http://schemas.openxmlformats.org/officeDocument/2006/relationships/hyperlink" Target="https://arxiv.org/abs/2606.10174" TargetMode="External"/><Relationship Id="rId5" Type="http://schemas.openxmlformats.org/officeDocument/2006/relationships/hyperlink" Target="https://doi.org/10.1038/s41598-026-36687-9" TargetMode="External"/><Relationship Id="rId6" Type="http://schemas.openxmlformats.org/officeDocument/2006/relationships/hyperlink" Target="https://doi.org/10.3390/fire8060211" TargetMode="External"/><Relationship Id="rId7" Type="http://schemas.openxmlformats.org/officeDocument/2006/relationships/hyperlink" Target="https://arxiv.org/abs/2505.17395" TargetMode="External"/><Relationship Id="rId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30"/>
    <col collapsed="false" customWidth="true" hidden="false" outlineLevel="0" max="10" min="10" style="0" width="20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30"/>
    <col collapsed="false" customWidth="true" hidden="false" outlineLevel="0" max="14" min="14" style="0" width="14"/>
    <col collapsed="false" customWidth="true" hidden="false" outlineLevel="0" max="17" min="15" style="0" width="12"/>
    <col collapsed="false" customWidth="true" hidden="false" outlineLevel="0" max="18" min="18" style="0" width="28"/>
    <col collapsed="false" customWidth="true" hidden="false" outlineLevel="0" max="19" min="19" style="0" width="30"/>
    <col collapsed="false" customWidth="true" hidden="false" outlineLevel="0" max="21" min="20" style="0" width="36"/>
    <col collapsed="false" customWidth="true" hidden="false" outlineLevel="0" max="22" min="22" style="0" width="40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customFormat="false" ht="229.5" hidden="false" customHeight="true" outlineLevel="0" collapsed="false">
      <c r="A3" s="3" t="n">
        <v>1</v>
      </c>
      <c r="B3" s="3" t="s">
        <v>23</v>
      </c>
      <c r="C3" s="3" t="s">
        <v>24</v>
      </c>
      <c r="D3" s="3" t="s">
        <v>25</v>
      </c>
      <c r="E3" s="3" t="s">
        <v>26</v>
      </c>
      <c r="F3" s="4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5" t="s">
        <v>35</v>
      </c>
      <c r="O3" s="3" t="s">
        <v>36</v>
      </c>
      <c r="P3" s="3" t="s">
        <v>36</v>
      </c>
      <c r="Q3" s="3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6" t="s">
        <v>41</v>
      </c>
    </row>
    <row r="4" customFormat="false" ht="229.5" hidden="false" customHeight="true" outlineLevel="0" collapsed="false">
      <c r="A4" s="7" t="n">
        <v>2</v>
      </c>
      <c r="B4" s="7" t="s">
        <v>42</v>
      </c>
      <c r="C4" s="7" t="s">
        <v>43</v>
      </c>
      <c r="D4" s="7" t="s">
        <v>44</v>
      </c>
      <c r="E4" s="7" t="s">
        <v>45</v>
      </c>
      <c r="F4" s="8" t="s">
        <v>46</v>
      </c>
      <c r="G4" s="7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52</v>
      </c>
      <c r="M4" s="7" t="s">
        <v>53</v>
      </c>
      <c r="N4" s="9" t="s">
        <v>54</v>
      </c>
      <c r="O4" s="7" t="s">
        <v>55</v>
      </c>
      <c r="P4" s="7" t="s">
        <v>56</v>
      </c>
      <c r="Q4" s="7" t="s">
        <v>57</v>
      </c>
      <c r="R4" s="7" t="s">
        <v>58</v>
      </c>
      <c r="S4" s="7" t="s">
        <v>59</v>
      </c>
      <c r="T4" s="7" t="s">
        <v>60</v>
      </c>
      <c r="U4" s="7" t="s">
        <v>61</v>
      </c>
      <c r="V4" s="6" t="s">
        <v>62</v>
      </c>
    </row>
    <row r="5" customFormat="false" ht="229.5" hidden="false" customHeight="true" outlineLevel="0" collapsed="false">
      <c r="A5" s="3" t="n">
        <v>3</v>
      </c>
      <c r="B5" s="3" t="s">
        <v>63</v>
      </c>
      <c r="C5" s="3" t="s">
        <v>64</v>
      </c>
      <c r="D5" s="3" t="s">
        <v>65</v>
      </c>
      <c r="E5" s="3" t="s">
        <v>66</v>
      </c>
      <c r="F5" s="4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71</v>
      </c>
      <c r="L5" s="3" t="s">
        <v>72</v>
      </c>
      <c r="M5" s="3" t="s">
        <v>73</v>
      </c>
      <c r="N5" s="5" t="s">
        <v>74</v>
      </c>
      <c r="O5" s="3" t="s">
        <v>75</v>
      </c>
      <c r="P5" s="3" t="s">
        <v>75</v>
      </c>
      <c r="Q5" s="3" t="s">
        <v>75</v>
      </c>
      <c r="R5" s="3" t="s">
        <v>76</v>
      </c>
      <c r="S5" s="3" t="s">
        <v>77</v>
      </c>
      <c r="T5" s="3" t="s">
        <v>78</v>
      </c>
      <c r="U5" s="3" t="s">
        <v>79</v>
      </c>
      <c r="V5" s="6" t="s">
        <v>80</v>
      </c>
    </row>
    <row r="6" customFormat="false" ht="229.5" hidden="false" customHeight="true" outlineLevel="0" collapsed="false">
      <c r="A6" s="7" t="n">
        <v>4</v>
      </c>
      <c r="B6" s="7" t="s">
        <v>81</v>
      </c>
      <c r="C6" s="7" t="s">
        <v>82</v>
      </c>
      <c r="D6" s="7" t="s">
        <v>83</v>
      </c>
      <c r="E6" s="7" t="s">
        <v>84</v>
      </c>
      <c r="F6" s="8" t="s">
        <v>85</v>
      </c>
      <c r="G6" s="7" t="s">
        <v>86</v>
      </c>
      <c r="H6" s="7" t="s">
        <v>87</v>
      </c>
      <c r="I6" s="7" t="s">
        <v>88</v>
      </c>
      <c r="J6" s="7" t="s">
        <v>89</v>
      </c>
      <c r="K6" s="7" t="s">
        <v>90</v>
      </c>
      <c r="L6" s="7" t="s">
        <v>91</v>
      </c>
      <c r="M6" s="7" t="s">
        <v>92</v>
      </c>
      <c r="N6" s="9" t="s">
        <v>93</v>
      </c>
      <c r="O6" s="7" t="s">
        <v>94</v>
      </c>
      <c r="P6" s="7" t="s">
        <v>94</v>
      </c>
      <c r="Q6" s="7" t="s">
        <v>95</v>
      </c>
      <c r="R6" s="7" t="s">
        <v>96</v>
      </c>
      <c r="S6" s="7" t="s">
        <v>97</v>
      </c>
      <c r="T6" s="7" t="s">
        <v>98</v>
      </c>
      <c r="U6" s="7" t="s">
        <v>99</v>
      </c>
      <c r="V6" s="6" t="s">
        <v>100</v>
      </c>
    </row>
    <row r="7" customFormat="false" ht="229.5" hidden="false" customHeight="true" outlineLevel="0" collapsed="false">
      <c r="A7" s="3" t="n">
        <v>5</v>
      </c>
      <c r="B7" s="3" t="s">
        <v>101</v>
      </c>
      <c r="C7" s="3" t="s">
        <v>102</v>
      </c>
      <c r="D7" s="3" t="s">
        <v>103</v>
      </c>
      <c r="E7" s="3" t="s">
        <v>104</v>
      </c>
      <c r="F7" s="4" t="s">
        <v>105</v>
      </c>
      <c r="G7" s="3" t="s">
        <v>106</v>
      </c>
      <c r="H7" s="3" t="s">
        <v>107</v>
      </c>
      <c r="I7" s="3" t="s">
        <v>108</v>
      </c>
      <c r="J7" s="3" t="s">
        <v>109</v>
      </c>
      <c r="K7" s="3" t="s">
        <v>110</v>
      </c>
      <c r="L7" s="3" t="s">
        <v>111</v>
      </c>
      <c r="M7" s="3" t="s">
        <v>112</v>
      </c>
      <c r="N7" s="5" t="s">
        <v>113</v>
      </c>
      <c r="O7" s="3" t="s">
        <v>114</v>
      </c>
      <c r="P7" s="3" t="s">
        <v>115</v>
      </c>
      <c r="Q7" s="3" t="s">
        <v>116</v>
      </c>
      <c r="R7" s="3" t="s">
        <v>117</v>
      </c>
      <c r="S7" s="3" t="s">
        <v>118</v>
      </c>
      <c r="T7" s="3" t="s">
        <v>119</v>
      </c>
      <c r="U7" s="3" t="s">
        <v>120</v>
      </c>
      <c r="V7" s="6" t="s">
        <v>121</v>
      </c>
    </row>
    <row r="8" customFormat="false" ht="229.5" hidden="false" customHeight="true" outlineLevel="0" collapsed="false">
      <c r="A8" s="7" t="n">
        <v>6</v>
      </c>
      <c r="B8" s="7" t="s">
        <v>122</v>
      </c>
      <c r="C8" s="7" t="s">
        <v>123</v>
      </c>
      <c r="D8" s="7" t="s">
        <v>124</v>
      </c>
      <c r="E8" s="7" t="s">
        <v>125</v>
      </c>
      <c r="F8" s="8" t="s">
        <v>126</v>
      </c>
      <c r="G8" s="7" t="s">
        <v>127</v>
      </c>
      <c r="H8" s="7" t="s">
        <v>128</v>
      </c>
      <c r="I8" s="7" t="s">
        <v>129</v>
      </c>
      <c r="J8" s="7" t="s">
        <v>130</v>
      </c>
      <c r="K8" s="7" t="s">
        <v>131</v>
      </c>
      <c r="L8" s="7" t="s">
        <v>132</v>
      </c>
      <c r="M8" s="7" t="s">
        <v>133</v>
      </c>
      <c r="N8" s="9" t="s">
        <v>134</v>
      </c>
      <c r="O8" s="7" t="s">
        <v>135</v>
      </c>
      <c r="P8" s="7" t="s">
        <v>136</v>
      </c>
      <c r="Q8" s="7" t="s">
        <v>137</v>
      </c>
      <c r="R8" s="7" t="s">
        <v>138</v>
      </c>
      <c r="S8" s="7" t="s">
        <v>139</v>
      </c>
      <c r="T8" s="7" t="s">
        <v>140</v>
      </c>
      <c r="U8" s="7" t="s">
        <v>141</v>
      </c>
      <c r="V8" s="6" t="s">
        <v>142</v>
      </c>
    </row>
    <row r="9" customFormat="false" ht="229.5" hidden="false" customHeight="true" outlineLevel="0" collapsed="false">
      <c r="A9" s="3" t="n">
        <v>7</v>
      </c>
      <c r="B9" s="3" t="s">
        <v>143</v>
      </c>
      <c r="C9" s="3" t="s">
        <v>144</v>
      </c>
      <c r="D9" s="3" t="s">
        <v>145</v>
      </c>
      <c r="E9" s="3" t="s">
        <v>146</v>
      </c>
      <c r="F9" s="4" t="s">
        <v>147</v>
      </c>
      <c r="G9" s="3" t="s">
        <v>148</v>
      </c>
      <c r="H9" s="3" t="s">
        <v>149</v>
      </c>
      <c r="I9" s="3" t="s">
        <v>150</v>
      </c>
      <c r="J9" s="3" t="s">
        <v>151</v>
      </c>
      <c r="K9" s="3" t="s">
        <v>152</v>
      </c>
      <c r="L9" s="3" t="s">
        <v>153</v>
      </c>
      <c r="M9" s="3" t="s">
        <v>154</v>
      </c>
      <c r="N9" s="5" t="s">
        <v>155</v>
      </c>
      <c r="O9" s="3" t="s">
        <v>156</v>
      </c>
      <c r="P9" s="3" t="s">
        <v>157</v>
      </c>
      <c r="Q9" s="3" t="s">
        <v>156</v>
      </c>
      <c r="R9" s="3" t="s">
        <v>158</v>
      </c>
      <c r="S9" s="3" t="s">
        <v>159</v>
      </c>
      <c r="T9" s="3" t="s">
        <v>160</v>
      </c>
      <c r="U9" s="3" t="s">
        <v>161</v>
      </c>
      <c r="V9" s="6" t="s">
        <v>162</v>
      </c>
    </row>
  </sheetData>
  <autoFilter ref="A2:V9"/>
  <hyperlinks>
    <hyperlink ref="F3" r:id="rId1" display="https://doi.org/10.3390/electronics15194470"/>
    <hyperlink ref="F4" r:id="rId2" display="https://doi.org/10.3390/info17090845"/>
    <hyperlink ref="F5" r:id="rId3" display="https://doi.org/10.1007/978-981-92-2487-6_26"/>
    <hyperlink ref="F6" r:id="rId4" display="https://arxiv.org/abs/2606.10174"/>
    <hyperlink ref="F7" r:id="rId5" display="https://doi.org/10.1038/s41598-026-36687-9"/>
    <hyperlink ref="F8" r:id="rId6" display="https://doi.org/10.3390/fire8060211"/>
    <hyperlink ref="F9" r:id="rId7" display="https://arxiv.org/abs/2505.1739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9" min="6" style="0" width="11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163</v>
      </c>
    </row>
    <row r="2" customFormat="false" ht="31.5" hidden="false" customHeight="true" outlineLevel="0" collapsed="false">
      <c r="A2" s="2" t="s">
        <v>164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  <c r="G2" s="2" t="s">
        <v>15</v>
      </c>
      <c r="H2" s="2" t="s">
        <v>16</v>
      </c>
      <c r="I2" s="2" t="s">
        <v>170</v>
      </c>
      <c r="J2" s="2" t="s">
        <v>171</v>
      </c>
    </row>
    <row r="3" customFormat="false" ht="15" hidden="false" customHeight="false" outlineLevel="0" collapsed="false">
      <c r="A3" s="3" t="s">
        <v>172</v>
      </c>
      <c r="B3" s="3" t="s">
        <v>173</v>
      </c>
      <c r="C3" s="3" t="s">
        <v>29</v>
      </c>
      <c r="D3" s="3" t="n">
        <v>8600</v>
      </c>
      <c r="E3" s="3" t="s">
        <v>174</v>
      </c>
      <c r="F3" s="10" t="n">
        <v>1</v>
      </c>
      <c r="G3" s="11" t="s">
        <v>175</v>
      </c>
      <c r="H3" s="11" t="s">
        <v>175</v>
      </c>
      <c r="I3" s="11" t="s">
        <v>175</v>
      </c>
      <c r="J3" s="3" t="s">
        <v>176</v>
      </c>
    </row>
    <row r="4" customFormat="false" ht="15" hidden="false" customHeight="false" outlineLevel="0" collapsed="false">
      <c r="A4" s="7" t="s">
        <v>172</v>
      </c>
      <c r="B4" s="7" t="s">
        <v>177</v>
      </c>
      <c r="C4" s="7" t="s">
        <v>29</v>
      </c>
      <c r="D4" s="7" t="n">
        <v>8600</v>
      </c>
      <c r="E4" s="7" t="s">
        <v>174</v>
      </c>
      <c r="F4" s="12" t="n">
        <v>0.95</v>
      </c>
      <c r="G4" s="13" t="s">
        <v>175</v>
      </c>
      <c r="H4" s="13" t="s">
        <v>175</v>
      </c>
      <c r="I4" s="13" t="s">
        <v>175</v>
      </c>
      <c r="J4" s="7" t="s">
        <v>178</v>
      </c>
    </row>
    <row r="5" customFormat="false" ht="15" hidden="false" customHeight="false" outlineLevel="0" collapsed="false">
      <c r="A5" s="3" t="s">
        <v>179</v>
      </c>
      <c r="B5" s="3" t="s">
        <v>180</v>
      </c>
      <c r="C5" s="3" t="s">
        <v>181</v>
      </c>
      <c r="D5" s="3" t="n">
        <v>28022</v>
      </c>
      <c r="E5" s="3" t="s">
        <v>182</v>
      </c>
      <c r="F5" s="10" t="n">
        <v>0.854</v>
      </c>
      <c r="G5" s="10" t="n">
        <v>0.8533</v>
      </c>
      <c r="H5" s="10" t="n">
        <v>0.8543</v>
      </c>
      <c r="I5" s="10" t="n">
        <v>0.8535</v>
      </c>
      <c r="J5" s="3" t="s">
        <v>183</v>
      </c>
    </row>
    <row r="6" customFormat="false" ht="15" hidden="false" customHeight="false" outlineLevel="0" collapsed="false">
      <c r="A6" s="7" t="s">
        <v>184</v>
      </c>
      <c r="B6" s="7" t="s">
        <v>185</v>
      </c>
      <c r="C6" s="7" t="s">
        <v>186</v>
      </c>
      <c r="D6" s="7" t="s">
        <v>175</v>
      </c>
      <c r="E6" s="7" t="s">
        <v>174</v>
      </c>
      <c r="F6" s="12" t="n">
        <v>0.99</v>
      </c>
      <c r="G6" s="13" t="s">
        <v>175</v>
      </c>
      <c r="H6" s="13" t="s">
        <v>175</v>
      </c>
      <c r="I6" s="13" t="s">
        <v>175</v>
      </c>
      <c r="J6" s="7" t="s">
        <v>187</v>
      </c>
    </row>
    <row r="7" customFormat="false" ht="15" hidden="false" customHeight="false" outlineLevel="0" collapsed="false">
      <c r="A7" s="3" t="s">
        <v>188</v>
      </c>
      <c r="B7" s="3" t="s">
        <v>189</v>
      </c>
      <c r="C7" s="3" t="s">
        <v>190</v>
      </c>
      <c r="D7" s="3" t="s">
        <v>175</v>
      </c>
      <c r="E7" s="3" t="s">
        <v>191</v>
      </c>
      <c r="F7" s="10" t="n">
        <v>0.952</v>
      </c>
      <c r="G7" s="11" t="s">
        <v>175</v>
      </c>
      <c r="H7" s="11" t="s">
        <v>175</v>
      </c>
      <c r="I7" s="10" t="n">
        <v>0.951</v>
      </c>
      <c r="J7" s="3" t="s">
        <v>192</v>
      </c>
    </row>
    <row r="8" customFormat="false" ht="15" hidden="false" customHeight="false" outlineLevel="0" collapsed="false">
      <c r="A8" s="7" t="s">
        <v>188</v>
      </c>
      <c r="B8" s="7" t="s">
        <v>193</v>
      </c>
      <c r="C8" s="7" t="s">
        <v>194</v>
      </c>
      <c r="D8" s="7" t="n">
        <v>8600</v>
      </c>
      <c r="E8" s="7" t="s">
        <v>191</v>
      </c>
      <c r="F8" s="12" t="n">
        <v>0.919</v>
      </c>
      <c r="G8" s="13" t="s">
        <v>175</v>
      </c>
      <c r="H8" s="13" t="s">
        <v>175</v>
      </c>
      <c r="I8" s="12" t="n">
        <v>0.864</v>
      </c>
      <c r="J8" s="7" t="s">
        <v>195</v>
      </c>
    </row>
    <row r="9" customFormat="false" ht="15" hidden="false" customHeight="false" outlineLevel="0" collapsed="false">
      <c r="A9" s="3" t="s">
        <v>188</v>
      </c>
      <c r="B9" s="3" t="s">
        <v>196</v>
      </c>
      <c r="C9" s="3" t="s">
        <v>190</v>
      </c>
      <c r="D9" s="3" t="s">
        <v>175</v>
      </c>
      <c r="E9" s="3" t="s">
        <v>191</v>
      </c>
      <c r="F9" s="10" t="n">
        <v>0.946</v>
      </c>
      <c r="G9" s="11" t="s">
        <v>175</v>
      </c>
      <c r="H9" s="11" t="s">
        <v>175</v>
      </c>
      <c r="I9" s="10" t="n">
        <v>0.945</v>
      </c>
      <c r="J9" s="3" t="s">
        <v>192</v>
      </c>
    </row>
    <row r="10" customFormat="false" ht="15" hidden="false" customHeight="false" outlineLevel="0" collapsed="false">
      <c r="A10" s="7" t="s">
        <v>188</v>
      </c>
      <c r="B10" s="7" t="s">
        <v>197</v>
      </c>
      <c r="C10" s="7" t="s">
        <v>194</v>
      </c>
      <c r="D10" s="7" t="n">
        <v>8600</v>
      </c>
      <c r="E10" s="7" t="s">
        <v>191</v>
      </c>
      <c r="F10" s="12" t="n">
        <v>0.821</v>
      </c>
      <c r="G10" s="13" t="s">
        <v>175</v>
      </c>
      <c r="H10" s="13" t="s">
        <v>175</v>
      </c>
      <c r="I10" s="12" t="n">
        <v>0.612</v>
      </c>
      <c r="J10" s="7" t="s">
        <v>198</v>
      </c>
    </row>
    <row r="11" customFormat="false" ht="15" hidden="false" customHeight="false" outlineLevel="0" collapsed="false">
      <c r="A11" s="3" t="s">
        <v>199</v>
      </c>
      <c r="B11" s="3" t="s">
        <v>200</v>
      </c>
      <c r="C11" s="3" t="s">
        <v>201</v>
      </c>
      <c r="D11" s="3" t="n">
        <v>999</v>
      </c>
      <c r="E11" s="3" t="s">
        <v>174</v>
      </c>
      <c r="F11" s="10" t="n">
        <v>0.992</v>
      </c>
      <c r="G11" s="10" t="n">
        <v>0.992</v>
      </c>
      <c r="H11" s="10" t="n">
        <v>0.991</v>
      </c>
      <c r="I11" s="10" t="n">
        <v>0.991</v>
      </c>
      <c r="J11" s="3" t="s">
        <v>202</v>
      </c>
    </row>
    <row r="12" customFormat="false" ht="15" hidden="false" customHeight="false" outlineLevel="0" collapsed="false">
      <c r="A12" s="7" t="s">
        <v>199</v>
      </c>
      <c r="B12" s="7" t="s">
        <v>200</v>
      </c>
      <c r="C12" s="7" t="s">
        <v>203</v>
      </c>
      <c r="D12" s="7" t="s">
        <v>175</v>
      </c>
      <c r="E12" s="7" t="s">
        <v>204</v>
      </c>
      <c r="F12" s="12" t="n">
        <v>0.983</v>
      </c>
      <c r="G12" s="12" t="n">
        <v>0.984</v>
      </c>
      <c r="H12" s="12" t="n">
        <v>0.982</v>
      </c>
      <c r="I12" s="12" t="n">
        <v>0.983</v>
      </c>
      <c r="J12" s="7"/>
    </row>
    <row r="13" customFormat="false" ht="15" hidden="false" customHeight="false" outlineLevel="0" collapsed="false">
      <c r="A13" s="3" t="s">
        <v>205</v>
      </c>
      <c r="B13" s="3" t="s">
        <v>206</v>
      </c>
      <c r="C13" s="3" t="s">
        <v>207</v>
      </c>
      <c r="D13" s="3" t="n">
        <v>9869</v>
      </c>
      <c r="E13" s="3" t="s">
        <v>208</v>
      </c>
      <c r="F13" s="11" t="s">
        <v>175</v>
      </c>
      <c r="G13" s="10" t="n">
        <v>0.833</v>
      </c>
      <c r="H13" s="10" t="n">
        <v>0.828</v>
      </c>
      <c r="I13" s="10" t="n">
        <v>0.815</v>
      </c>
      <c r="J13" s="3" t="s">
        <v>209</v>
      </c>
    </row>
    <row r="14" customFormat="false" ht="15" hidden="false" customHeight="false" outlineLevel="0" collapsed="false">
      <c r="A14" s="7" t="s">
        <v>210</v>
      </c>
      <c r="B14" s="7" t="s">
        <v>211</v>
      </c>
      <c r="C14" s="7" t="s">
        <v>212</v>
      </c>
      <c r="D14" s="7" t="n">
        <v>2700</v>
      </c>
      <c r="E14" s="7" t="s">
        <v>174</v>
      </c>
      <c r="F14" s="12" t="n">
        <v>0.961</v>
      </c>
      <c r="G14" s="12" t="n">
        <v>0.96</v>
      </c>
      <c r="H14" s="12" t="n">
        <v>0.96</v>
      </c>
      <c r="I14" s="12" t="n">
        <v>0.96</v>
      </c>
      <c r="J14" s="7" t="s">
        <v>213</v>
      </c>
    </row>
    <row r="15" customFormat="false" ht="22.35" hidden="false" customHeight="false" outlineLevel="0" collapsed="false">
      <c r="A15" s="14" t="s">
        <v>214</v>
      </c>
      <c r="B15" s="14" t="s">
        <v>215</v>
      </c>
      <c r="C15" s="14" t="s">
        <v>216</v>
      </c>
      <c r="D15" s="14" t="n">
        <v>999</v>
      </c>
      <c r="E15" s="14" t="s">
        <v>174</v>
      </c>
      <c r="F15" s="15" t="n">
        <v>0.9933</v>
      </c>
      <c r="G15" s="15" t="n">
        <v>1</v>
      </c>
      <c r="H15" s="15" t="n">
        <v>0.9912</v>
      </c>
      <c r="I15" s="15" t="n">
        <f aca="false">IFERROR(2*G15*H15/(G15+H15),"—")</f>
        <v>0.995580554439534</v>
      </c>
      <c r="J15" s="14" t="s">
        <v>217</v>
      </c>
    </row>
    <row r="16" customFormat="false" ht="15" hidden="false" customHeight="false" outlineLevel="0" collapsed="false">
      <c r="A16" s="14" t="s">
        <v>214</v>
      </c>
      <c r="B16" s="14" t="s">
        <v>218</v>
      </c>
      <c r="C16" s="14" t="s">
        <v>216</v>
      </c>
      <c r="D16" s="14" t="n">
        <v>999</v>
      </c>
      <c r="E16" s="14" t="s">
        <v>174</v>
      </c>
      <c r="F16" s="15" t="n">
        <v>0.9933</v>
      </c>
      <c r="G16" s="15" t="n">
        <v>1</v>
      </c>
      <c r="H16" s="15" t="n">
        <v>0.9912</v>
      </c>
      <c r="I16" s="15" t="n">
        <f aca="false">IFERROR(2*G16*H16/(G16+H16),"—")</f>
        <v>0.995580554439534</v>
      </c>
      <c r="J16" s="14" t="s">
        <v>219</v>
      </c>
    </row>
    <row r="17" customFormat="false" ht="15" hidden="false" customHeight="false" outlineLevel="0" collapsed="false">
      <c r="A17" s="14" t="s">
        <v>214</v>
      </c>
      <c r="B17" s="14" t="s">
        <v>220</v>
      </c>
      <c r="C17" s="14" t="s">
        <v>216</v>
      </c>
      <c r="D17" s="14" t="n">
        <v>999</v>
      </c>
      <c r="E17" s="14" t="s">
        <v>174</v>
      </c>
      <c r="F17" s="15" t="n">
        <v>0.9733</v>
      </c>
      <c r="G17" s="15" t="n">
        <v>1</v>
      </c>
      <c r="H17" s="15" t="n">
        <v>0.9646</v>
      </c>
      <c r="I17" s="15" t="n">
        <f aca="false">IFERROR(2*G17*H17/(G17+H17),"—")</f>
        <v>0.981981064847806</v>
      </c>
      <c r="J17" s="14" t="s">
        <v>221</v>
      </c>
    </row>
    <row r="18" customFormat="false" ht="15" hidden="false" customHeight="false" outlineLevel="0" collapsed="false">
      <c r="A18" s="14" t="s">
        <v>214</v>
      </c>
      <c r="B18" s="14" t="s">
        <v>222</v>
      </c>
      <c r="C18" s="14" t="s">
        <v>216</v>
      </c>
      <c r="D18" s="14" t="n">
        <v>999</v>
      </c>
      <c r="E18" s="14" t="s">
        <v>174</v>
      </c>
      <c r="F18" s="15" t="n">
        <v>0.9533</v>
      </c>
      <c r="G18" s="15" t="n">
        <v>0.9818</v>
      </c>
      <c r="H18" s="15" t="n">
        <v>0.9558</v>
      </c>
      <c r="I18" s="15" t="n">
        <f aca="false">IFERROR(2*G18*H18/(G18+H18),"—")</f>
        <v>0.968625557390586</v>
      </c>
      <c r="J18" s="14" t="s">
        <v>223</v>
      </c>
    </row>
    <row r="19" customFormat="false" ht="15" hidden="false" customHeight="false" outlineLevel="0" collapsed="false">
      <c r="A19" s="14" t="s">
        <v>214</v>
      </c>
      <c r="B19" s="14" t="s">
        <v>224</v>
      </c>
      <c r="C19" s="14" t="s">
        <v>216</v>
      </c>
      <c r="D19" s="14" t="n">
        <v>999</v>
      </c>
      <c r="E19" s="14" t="s">
        <v>174</v>
      </c>
      <c r="F19" s="15" t="n">
        <v>0.9333</v>
      </c>
      <c r="G19" s="15" t="n">
        <v>0.9905</v>
      </c>
      <c r="H19" s="15" t="n">
        <v>0.9204</v>
      </c>
      <c r="I19" s="15" t="n">
        <f aca="false">IFERROR(2*G19*H19/(G19+H19),"—")</f>
        <v>0.954164215814538</v>
      </c>
      <c r="J19" s="14"/>
    </row>
    <row r="20" customFormat="false" ht="15" hidden="false" customHeight="false" outlineLevel="0" collapsed="false">
      <c r="A20" s="14" t="s">
        <v>214</v>
      </c>
      <c r="B20" s="14" t="s">
        <v>225</v>
      </c>
      <c r="C20" s="14" t="s">
        <v>216</v>
      </c>
      <c r="D20" s="14" t="n">
        <v>999</v>
      </c>
      <c r="E20" s="14" t="s">
        <v>174</v>
      </c>
      <c r="F20" s="15" t="n">
        <v>0.8733</v>
      </c>
      <c r="G20" s="15" t="n">
        <v>0.97</v>
      </c>
      <c r="H20" s="15" t="n">
        <v>0.8584</v>
      </c>
      <c r="I20" s="15" t="n">
        <f aca="false">IFERROR(2*G20*H20/(G20+H20),"—")</f>
        <v>0.910794136950339</v>
      </c>
      <c r="J20" s="14" t="s">
        <v>226</v>
      </c>
    </row>
    <row r="21" customFormat="false" ht="22.35" hidden="false" customHeight="false" outlineLevel="0" collapsed="false">
      <c r="A21" s="14" t="s">
        <v>214</v>
      </c>
      <c r="B21" s="14" t="s">
        <v>227</v>
      </c>
      <c r="C21" s="14" t="s">
        <v>228</v>
      </c>
      <c r="D21" s="14" t="n">
        <v>849</v>
      </c>
      <c r="E21" s="14" t="s">
        <v>174</v>
      </c>
      <c r="F21" s="15" t="n">
        <v>0.9481</v>
      </c>
      <c r="G21" s="15" t="n">
        <v>0.9615</v>
      </c>
      <c r="H21" s="15" t="n">
        <v>0.9721</v>
      </c>
      <c r="I21" s="15" t="n">
        <v>0.9661</v>
      </c>
      <c r="J21" s="14" t="s">
        <v>229</v>
      </c>
    </row>
    <row r="22" customFormat="false" ht="15" hidden="false" customHeight="false" outlineLevel="0" collapsed="false">
      <c r="A22" s="14" t="s">
        <v>214</v>
      </c>
      <c r="B22" s="14" t="s">
        <v>230</v>
      </c>
      <c r="C22" s="14" t="s">
        <v>216</v>
      </c>
      <c r="D22" s="14" t="n">
        <v>999</v>
      </c>
      <c r="E22" s="14" t="s">
        <v>174</v>
      </c>
      <c r="F22" s="15" t="n">
        <v>0.9267</v>
      </c>
      <c r="G22" s="15" t="n">
        <v>0.9322</v>
      </c>
      <c r="H22" s="15" t="n">
        <v>0.9735</v>
      </c>
      <c r="I22" s="15" t="n">
        <f aca="false">IFERROR(2*G22*H22/(G22+H22),"—")</f>
        <v>0.952402476780186</v>
      </c>
      <c r="J22" s="14" t="s">
        <v>231</v>
      </c>
    </row>
    <row r="23" customFormat="false" ht="15" hidden="false" customHeight="false" outlineLevel="0" collapsed="false">
      <c r="A23" s="14" t="s">
        <v>214</v>
      </c>
      <c r="B23" s="14" t="s">
        <v>232</v>
      </c>
      <c r="C23" s="14" t="s">
        <v>216</v>
      </c>
      <c r="D23" s="14" t="n">
        <v>999</v>
      </c>
      <c r="E23" s="14" t="s">
        <v>174</v>
      </c>
      <c r="F23" s="15" t="n">
        <v>0.8867</v>
      </c>
      <c r="G23" s="15" t="n">
        <v>0.8692</v>
      </c>
      <c r="H23" s="15" t="n">
        <v>1</v>
      </c>
      <c r="I23" s="15" t="n">
        <f aca="false">IFERROR(2*G23*H23/(G23+H23),"—")</f>
        <v>0.930023539482131</v>
      </c>
      <c r="J23" s="14" t="s">
        <v>233</v>
      </c>
    </row>
    <row r="25" customFormat="false" ht="15" hidden="false" customHeight="false" outlineLevel="0" collapsed="false">
      <c r="A25" s="16" t="s">
        <v>234</v>
      </c>
    </row>
    <row r="26" customFormat="false" ht="15" hidden="false" customHeight="false" outlineLevel="0" collapsed="false">
      <c r="A26" s="17" t="s">
        <v>235</v>
      </c>
    </row>
    <row r="27" customFormat="false" ht="15" hidden="false" customHeight="false" outlineLevel="0" collapsed="false">
      <c r="A27" s="17" t="s">
        <v>236</v>
      </c>
    </row>
    <row r="28" customFormat="false" ht="15" hidden="false" customHeight="false" outlineLevel="0" collapsed="false">
      <c r="A28" s="17" t="s">
        <v>237</v>
      </c>
    </row>
    <row r="29" customFormat="false" ht="15" hidden="false" customHeight="false" outlineLevel="0" collapsed="false">
      <c r="A29" s="17" t="s">
        <v>238</v>
      </c>
    </row>
    <row r="30" customFormat="false" ht="15" hidden="false" customHeight="false" outlineLevel="0" collapsed="false">
      <c r="A30" s="17" t="s">
        <v>239</v>
      </c>
    </row>
    <row r="31" customFormat="false" ht="15" hidden="false" customHeight="false" outlineLevel="0" collapsed="false">
      <c r="A31" s="17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241</v>
      </c>
    </row>
    <row r="2" customFormat="false" ht="31.5" hidden="false" customHeight="true" outlineLevel="0" collapsed="false">
      <c r="A2" s="2" t="s">
        <v>166</v>
      </c>
      <c r="B2" s="2" t="s">
        <v>242</v>
      </c>
      <c r="C2" s="2" t="s">
        <v>243</v>
      </c>
      <c r="D2" s="2" t="s">
        <v>244</v>
      </c>
      <c r="E2" s="2" t="s">
        <v>245</v>
      </c>
      <c r="F2" s="2" t="s">
        <v>246</v>
      </c>
    </row>
    <row r="3" customFormat="false" ht="22.35" hidden="false" customHeight="false" outlineLevel="0" collapsed="false">
      <c r="A3" s="6" t="s">
        <v>247</v>
      </c>
      <c r="B3" s="6" t="s">
        <v>248</v>
      </c>
      <c r="C3" s="3" t="s">
        <v>249</v>
      </c>
      <c r="D3" s="3" t="s">
        <v>250</v>
      </c>
      <c r="E3" s="3" t="s">
        <v>251</v>
      </c>
      <c r="F3" s="3" t="s">
        <v>252</v>
      </c>
    </row>
    <row r="4" customFormat="false" ht="22.35" hidden="false" customHeight="false" outlineLevel="0" collapsed="false">
      <c r="A4" s="7" t="s">
        <v>29</v>
      </c>
      <c r="B4" s="7" t="s">
        <v>253</v>
      </c>
      <c r="C4" s="7" t="s">
        <v>254</v>
      </c>
      <c r="D4" s="7" t="s">
        <v>250</v>
      </c>
      <c r="E4" s="7" t="s">
        <v>255</v>
      </c>
      <c r="F4" s="7" t="s">
        <v>256</v>
      </c>
    </row>
    <row r="5" customFormat="false" ht="22.35" hidden="false" customHeight="false" outlineLevel="0" collapsed="false">
      <c r="A5" s="3" t="s">
        <v>257</v>
      </c>
      <c r="B5" s="3" t="s">
        <v>258</v>
      </c>
      <c r="C5" s="3" t="s">
        <v>259</v>
      </c>
      <c r="D5" s="3" t="s">
        <v>260</v>
      </c>
      <c r="E5" s="3" t="s">
        <v>261</v>
      </c>
      <c r="F5" s="3" t="s">
        <v>262</v>
      </c>
    </row>
    <row r="6" customFormat="false" ht="15" hidden="false" customHeight="false" outlineLevel="0" collapsed="false">
      <c r="A6" s="7" t="s">
        <v>263</v>
      </c>
      <c r="B6" s="7" t="s">
        <v>264</v>
      </c>
      <c r="C6" s="7" t="s">
        <v>265</v>
      </c>
      <c r="D6" s="7" t="s">
        <v>266</v>
      </c>
      <c r="E6" s="7" t="s">
        <v>267</v>
      </c>
      <c r="F6" s="7" t="s">
        <v>268</v>
      </c>
    </row>
    <row r="7" customFormat="false" ht="22.35" hidden="false" customHeight="false" outlineLevel="0" collapsed="false">
      <c r="A7" s="3" t="s">
        <v>212</v>
      </c>
      <c r="B7" s="3" t="s">
        <v>269</v>
      </c>
      <c r="C7" s="3" t="s">
        <v>270</v>
      </c>
      <c r="D7" s="3" t="s">
        <v>271</v>
      </c>
      <c r="E7" s="3" t="s">
        <v>272</v>
      </c>
      <c r="F7" s="3" t="s">
        <v>273</v>
      </c>
    </row>
    <row r="8" customFormat="false" ht="15" hidden="false" customHeight="false" outlineLevel="0" collapsed="false">
      <c r="A8" s="7" t="s">
        <v>274</v>
      </c>
      <c r="B8" s="7" t="s">
        <v>275</v>
      </c>
      <c r="C8" s="7" t="s">
        <v>276</v>
      </c>
      <c r="D8" s="7" t="s">
        <v>250</v>
      </c>
      <c r="E8" s="7" t="s">
        <v>277</v>
      </c>
      <c r="F8" s="7" t="s">
        <v>278</v>
      </c>
    </row>
    <row r="9" customFormat="false" ht="22.35" hidden="false" customHeight="false" outlineLevel="0" collapsed="false">
      <c r="A9" s="3" t="s">
        <v>279</v>
      </c>
      <c r="B9" s="3" t="s">
        <v>275</v>
      </c>
      <c r="C9" s="3" t="s">
        <v>280</v>
      </c>
      <c r="D9" s="3" t="s">
        <v>250</v>
      </c>
      <c r="E9" s="3" t="s">
        <v>281</v>
      </c>
      <c r="F9" s="3" t="s">
        <v>282</v>
      </c>
    </row>
    <row r="10" customFormat="false" ht="15" hidden="false" customHeight="false" outlineLevel="0" collapsed="false">
      <c r="A10" s="7" t="s">
        <v>207</v>
      </c>
      <c r="B10" s="7" t="s">
        <v>283</v>
      </c>
      <c r="C10" s="7" t="s">
        <v>284</v>
      </c>
      <c r="D10" s="7" t="s">
        <v>266</v>
      </c>
      <c r="E10" s="7" t="s">
        <v>285</v>
      </c>
      <c r="F10" s="7" t="s">
        <v>286</v>
      </c>
    </row>
    <row r="11" customFormat="false" ht="15" hidden="false" customHeight="false" outlineLevel="0" collapsed="false">
      <c r="A11" s="3" t="s">
        <v>203</v>
      </c>
      <c r="B11" s="3" t="s">
        <v>287</v>
      </c>
      <c r="C11" s="3" t="s">
        <v>288</v>
      </c>
      <c r="D11" s="3" t="s">
        <v>250</v>
      </c>
      <c r="E11" s="3" t="s">
        <v>289</v>
      </c>
      <c r="F11" s="3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2026-10-13T12:41:41Z</dcterms:created>
  <dc:creator>openpyxl</dc:creator>
  <dc:description/>
  <dc:language>en-US</dc:language>
  <cp:lastModifiedBy/>
  <dcterms:modified xsi:type="dcterms:W3CDTF">2026-10-13T12:41:42Z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